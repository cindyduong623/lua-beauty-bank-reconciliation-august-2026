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ndyduong/Downloads/"/>
    </mc:Choice>
  </mc:AlternateContent>
  <xr:revisionPtr revIDLastSave="0" documentId="13_ncr:1_{20F9D213-DBE5-F94C-93B3-684FB271A637}" xr6:coauthVersionLast="47" xr6:coauthVersionMax="47" xr10:uidLastSave="{00000000-0000-0000-0000-000000000000}"/>
  <bookViews>
    <workbookView xWindow="28800" yWindow="600" windowWidth="38400" windowHeight="19880" xr2:uid="{98B931C1-77C0-A64B-AACB-20C28DE3906A}"/>
  </bookViews>
  <sheets>
    <sheet name="README" sheetId="4" r:id="rId1"/>
    <sheet name="Bank Statement" sheetId="1" r:id="rId2"/>
    <sheet name="General Ledger" sheetId="2" r:id="rId3"/>
    <sheet name="Reconciliation" sheetId="3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3" l="1"/>
  <c r="B11" i="3"/>
  <c r="B10" i="3"/>
  <c r="B9" i="3"/>
  <c r="B4" i="3"/>
  <c r="B3" i="3"/>
  <c r="B8" i="3"/>
  <c r="B2" i="3"/>
  <c r="B5" i="3" l="1"/>
  <c r="B13" i="3"/>
  <c r="B15" i="3" l="1"/>
</calcChain>
</file>

<file path=xl/sharedStrings.xml><?xml version="1.0" encoding="utf-8"?>
<sst xmlns="http://schemas.openxmlformats.org/spreadsheetml/2006/main" count="71" uniqueCount="55">
  <si>
    <t>Date</t>
  </si>
  <si>
    <t>Description</t>
  </si>
  <si>
    <t>Amount</t>
  </si>
  <si>
    <t>Interest earned</t>
  </si>
  <si>
    <t>Payroll - Aug 16-31</t>
  </si>
  <si>
    <t>Payroll - Aug 1-15</t>
  </si>
  <si>
    <t>Customer payment - Hana House Boutique</t>
  </si>
  <si>
    <t>Customer payment - Jade Row Cosmetics</t>
  </si>
  <si>
    <t>Monthly service charge</t>
  </si>
  <si>
    <t>Check #2201 - Vietnam Silk Packaging Co.</t>
  </si>
  <si>
    <t>Customer payment - Mai's Nail &amp; Beauty Bar</t>
  </si>
  <si>
    <t>NSF - returned item (Customer payment - Jade Row Cosmetics)</t>
  </si>
  <si>
    <t>Check #2202 - Golden Lotus Ingredients</t>
  </si>
  <si>
    <t>Check #2203 - Saigon Print &amp; Label</t>
  </si>
  <si>
    <t>Customer payment - Bloom District Beauty Co.</t>
  </si>
  <si>
    <t>Customer payment - Pearl &amp; Palm Spa</t>
  </si>
  <si>
    <t>Customer payment - Silk &amp; Sen Spa</t>
  </si>
  <si>
    <t>Customer payment - The Lotus Room</t>
  </si>
  <si>
    <t>Check #2204 - Pearl River Logistics</t>
  </si>
  <si>
    <t>Check_Num</t>
  </si>
  <si>
    <t>Check #2205 - Bamboo Leaf Office Supply</t>
  </si>
  <si>
    <t>Customer payment - Orchid Lane Boutique</t>
  </si>
  <si>
    <t>Check #2206 - Rice Paper Studio Design</t>
  </si>
  <si>
    <t>Bank side:</t>
  </si>
  <si>
    <t>Book side:</t>
  </si>
  <si>
    <t>Add: Interest earned</t>
  </si>
  <si>
    <t>Less: Bank service charge</t>
  </si>
  <si>
    <t>Less: NSF returned item</t>
  </si>
  <si>
    <t>Add: Deposit in transit (Orchid Lane)</t>
  </si>
  <si>
    <t>Less: Outstanding checks (#2205, #2206)</t>
  </si>
  <si>
    <t>Add: Correct Check #2202 error</t>
  </si>
  <si>
    <t>Difference (should be $0)</t>
  </si>
  <si>
    <t>Balance per bank statement</t>
  </si>
  <si>
    <t>Adjusted bank balance</t>
  </si>
  <si>
    <t>Adjusted book balance</t>
  </si>
  <si>
    <t>Balance per general ledger</t>
  </si>
  <si>
    <t>Follow-up items:</t>
  </si>
  <si>
    <t>• Contact Jade Row Cosmetics regarding NSF returned payment ($6,407.70) to request repayment.</t>
  </si>
  <si>
    <t>Lụa Beauty: Bank Reconciliation (August 2026)</t>
  </si>
  <si>
    <t>Month-End Bank Reconciliation for Fictional Vietnamese Beauty Brand</t>
  </si>
  <si>
    <t>• Correct Check #2202 entry in accounting system: currently recorded as $2,235.82, should be $2,145.82.</t>
  </si>
  <si>
    <t>About This Project</t>
  </si>
  <si>
    <t>A month-end bank reconciliation for Lụa Beauty's operating checking account, comparing the bank statement against the company's general ledger and resolving the differences between them.</t>
  </si>
  <si>
    <t>Process</t>
  </si>
  <si>
    <t>Started with two raw exports: a bank statement and a general ledger, each with inconsistent date formats. After cleaning both, I compared them line by line to identify six reconciling items:</t>
  </si>
  <si>
    <t>• Two outstanding checks (#2205, #2206) written and recorded in the GL, not yet cleared by the bank</t>
  </si>
  <si>
    <t>• One deposit in transit (Orchid Lane Boutique) recorded in the GL, not yet reflected on the bank statement</t>
  </si>
  <si>
    <t>• Interest earned and a monthly service charge: bank-initiated, not yet recorded in the GL</t>
  </si>
  <si>
    <t>• One NSF (bounced) customer payment reversed by the bank, not yet reflected in the GL</t>
  </si>
  <si>
    <t>• One data entry error: a check was recorded in the GL at $90 less than its actual amount</t>
  </si>
  <si>
    <t>Result</t>
  </si>
  <si>
    <t>Both the adjusted bank balance and adjusted book balance reconcile to $7,339.98.</t>
  </si>
  <si>
    <t>Follow-Up Items:</t>
  </si>
  <si>
    <t>• Contact Jade Row Cosmetics regarding NSF returned payment ($6,407.70).</t>
  </si>
  <si>
    <t>• Correct Check #2202 entry in accounting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</si>
</sst>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7A71-2547-DA46-AB06-C2F6BA76D092}">
  <dimension ref="A1:A20"/>
  <sheetViews>
    <sheetView tabSelected="1" zoomScale="130" zoomScaleNormal="130" workbookViewId="0">
      <selection activeCell="A21" sqref="A21"/>
    </sheetView>
  </sheetViews>
  <sheetFormatPr baseColWidth="10" defaultRowHeight="16" x14ac:dyDescent="0.2"/>
  <sheetData>
    <row r="1" spans="1:1" ht="22" x14ac:dyDescent="0.3">
      <c r="A1" s="5" t="s">
        <v>38</v>
      </c>
    </row>
    <row r="2" spans="1:1" x14ac:dyDescent="0.2">
      <c r="A2" t="s">
        <v>39</v>
      </c>
    </row>
    <row r="4" spans="1:1" x14ac:dyDescent="0.2">
      <c r="A4" s="2" t="s">
        <v>41</v>
      </c>
    </row>
    <row r="5" spans="1:1" x14ac:dyDescent="0.2">
      <c r="A5" t="s">
        <v>42</v>
      </c>
    </row>
    <row r="7" spans="1:1" x14ac:dyDescent="0.2">
      <c r="A7" s="2" t="s">
        <v>43</v>
      </c>
    </row>
    <row r="8" spans="1:1" x14ac:dyDescent="0.2">
      <c r="A8" t="s">
        <v>44</v>
      </c>
    </row>
    <row r="9" spans="1:1" x14ac:dyDescent="0.2">
      <c r="A9" t="s">
        <v>45</v>
      </c>
    </row>
    <row r="10" spans="1:1" x14ac:dyDescent="0.2">
      <c r="A10" t="s">
        <v>46</v>
      </c>
    </row>
    <row r="11" spans="1:1" x14ac:dyDescent="0.2">
      <c r="A11" t="s">
        <v>47</v>
      </c>
    </row>
    <row r="12" spans="1:1" x14ac:dyDescent="0.2">
      <c r="A12" t="s">
        <v>48</v>
      </c>
    </row>
    <row r="13" spans="1:1" x14ac:dyDescent="0.2">
      <c r="A13" t="s">
        <v>49</v>
      </c>
    </row>
    <row r="15" spans="1:1" x14ac:dyDescent="0.2">
      <c r="A15" s="2" t="s">
        <v>50</v>
      </c>
    </row>
    <row r="16" spans="1:1" x14ac:dyDescent="0.2">
      <c r="A16" t="s">
        <v>51</v>
      </c>
    </row>
    <row r="18" spans="1:1" x14ac:dyDescent="0.2">
      <c r="A18" s="2" t="s">
        <v>52</v>
      </c>
    </row>
    <row r="19" spans="1:1" x14ac:dyDescent="0.2">
      <c r="A19" t="s">
        <v>53</v>
      </c>
    </row>
    <row r="20" spans="1:1" x14ac:dyDescent="0.2">
      <c r="A20" s="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B04B-D12B-1846-95B0-233805984061}">
  <dimension ref="A1:C17"/>
  <sheetViews>
    <sheetView zoomScale="130" zoomScaleNormal="130" workbookViewId="0">
      <pane ySplit="1" topLeftCell="A2" activePane="bottomLeft" state="frozen"/>
      <selection pane="bottomLeft" activeCell="D1" sqref="D1"/>
    </sheetView>
  </sheetViews>
  <sheetFormatPr baseColWidth="10" defaultRowHeight="16" x14ac:dyDescent="0.2"/>
  <cols>
    <col min="1" max="1" width="10.83203125" style="1"/>
    <col min="2" max="2" width="54" bestFit="1" customWidth="1"/>
  </cols>
  <sheetData>
    <row r="1" spans="1:3" x14ac:dyDescent="0.2">
      <c r="A1" s="3" t="s">
        <v>0</v>
      </c>
      <c r="B1" s="2" t="s">
        <v>1</v>
      </c>
      <c r="C1" s="2" t="s">
        <v>2</v>
      </c>
    </row>
    <row r="2" spans="1:3" x14ac:dyDescent="0.2">
      <c r="A2" s="1">
        <v>46265</v>
      </c>
      <c r="B2" t="s">
        <v>3</v>
      </c>
      <c r="C2">
        <v>12.41</v>
      </c>
    </row>
    <row r="3" spans="1:3" x14ac:dyDescent="0.2">
      <c r="A3" s="1">
        <v>46263</v>
      </c>
      <c r="B3" t="s">
        <v>4</v>
      </c>
      <c r="C3">
        <v>-6912.55</v>
      </c>
    </row>
    <row r="4" spans="1:3" x14ac:dyDescent="0.2">
      <c r="A4" s="1">
        <v>46249</v>
      </c>
      <c r="B4" t="s">
        <v>5</v>
      </c>
      <c r="C4">
        <v>-6840.22</v>
      </c>
    </row>
    <row r="5" spans="1:3" x14ac:dyDescent="0.2">
      <c r="A5" s="1">
        <v>46237</v>
      </c>
      <c r="B5" t="s">
        <v>6</v>
      </c>
      <c r="C5">
        <v>5989.95</v>
      </c>
    </row>
    <row r="6" spans="1:3" x14ac:dyDescent="0.2">
      <c r="A6" s="1">
        <v>46256</v>
      </c>
      <c r="B6" t="s">
        <v>7</v>
      </c>
      <c r="C6">
        <v>6407.7</v>
      </c>
    </row>
    <row r="7" spans="1:3" x14ac:dyDescent="0.2">
      <c r="A7" s="1">
        <v>46265</v>
      </c>
      <c r="B7" t="s">
        <v>8</v>
      </c>
      <c r="C7">
        <v>-35</v>
      </c>
    </row>
    <row r="8" spans="1:3" x14ac:dyDescent="0.2">
      <c r="A8" s="1">
        <v>46246</v>
      </c>
      <c r="B8" t="s">
        <v>9</v>
      </c>
      <c r="C8">
        <v>-3042.55</v>
      </c>
    </row>
    <row r="9" spans="1:3" x14ac:dyDescent="0.2">
      <c r="A9" s="1">
        <v>46239</v>
      </c>
      <c r="B9" t="s">
        <v>10</v>
      </c>
      <c r="C9">
        <v>9063.83</v>
      </c>
    </row>
    <row r="10" spans="1:3" x14ac:dyDescent="0.2">
      <c r="A10" s="1">
        <v>46259</v>
      </c>
      <c r="B10" t="s">
        <v>11</v>
      </c>
      <c r="C10">
        <v>-6407.7</v>
      </c>
    </row>
    <row r="11" spans="1:3" x14ac:dyDescent="0.2">
      <c r="A11" s="1">
        <v>46248</v>
      </c>
      <c r="B11" t="s">
        <v>12</v>
      </c>
      <c r="C11">
        <v>-2145.8200000000002</v>
      </c>
    </row>
    <row r="12" spans="1:3" x14ac:dyDescent="0.2">
      <c r="A12" s="1">
        <v>46238</v>
      </c>
      <c r="B12" t="s">
        <v>13</v>
      </c>
      <c r="C12">
        <v>-2660.25</v>
      </c>
    </row>
    <row r="13" spans="1:3" x14ac:dyDescent="0.2">
      <c r="A13" s="1">
        <v>46240</v>
      </c>
      <c r="B13" t="s">
        <v>14</v>
      </c>
      <c r="C13">
        <v>3603.76</v>
      </c>
    </row>
    <row r="14" spans="1:3" x14ac:dyDescent="0.2">
      <c r="A14" s="1">
        <v>46248</v>
      </c>
      <c r="B14" t="s">
        <v>15</v>
      </c>
      <c r="C14">
        <v>1611.59</v>
      </c>
    </row>
    <row r="15" spans="1:3" x14ac:dyDescent="0.2">
      <c r="A15" s="1">
        <v>46237</v>
      </c>
      <c r="B15" t="s">
        <v>16</v>
      </c>
      <c r="C15">
        <v>8062.87</v>
      </c>
    </row>
    <row r="16" spans="1:3" x14ac:dyDescent="0.2">
      <c r="A16" s="1">
        <v>46243</v>
      </c>
      <c r="B16" t="s">
        <v>17</v>
      </c>
      <c r="C16">
        <v>1586.64</v>
      </c>
    </row>
    <row r="17" spans="1:3" x14ac:dyDescent="0.2">
      <c r="A17" s="1">
        <v>46239</v>
      </c>
      <c r="B17" t="s">
        <v>18</v>
      </c>
      <c r="C17">
        <v>-1284.3800000000001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9DCC-BA75-A347-B871-E0286FAF1D0B}">
  <dimension ref="A1:D17"/>
  <sheetViews>
    <sheetView zoomScale="130" zoomScaleNormal="130" workbookViewId="0">
      <pane ySplit="1" topLeftCell="A2" activePane="bottomLeft" state="frozen"/>
      <selection pane="bottomLeft" activeCell="E1" sqref="E1"/>
    </sheetView>
  </sheetViews>
  <sheetFormatPr baseColWidth="10" defaultRowHeight="16" x14ac:dyDescent="0.2"/>
  <cols>
    <col min="1" max="1" width="10.83203125" style="1"/>
    <col min="2" max="2" width="40.1640625" bestFit="1" customWidth="1"/>
  </cols>
  <sheetData>
    <row r="1" spans="1:4" x14ac:dyDescent="0.2">
      <c r="A1" s="3" t="s">
        <v>0</v>
      </c>
      <c r="B1" s="2" t="s">
        <v>1</v>
      </c>
      <c r="C1" s="2" t="s">
        <v>19</v>
      </c>
      <c r="D1" s="2" t="s">
        <v>2</v>
      </c>
    </row>
    <row r="2" spans="1:4" x14ac:dyDescent="0.2">
      <c r="A2" s="1">
        <v>46240</v>
      </c>
      <c r="B2" t="s">
        <v>14</v>
      </c>
      <c r="D2">
        <v>3603.76</v>
      </c>
    </row>
    <row r="3" spans="1:4" x14ac:dyDescent="0.2">
      <c r="A3" s="1">
        <v>46239</v>
      </c>
      <c r="B3" t="s">
        <v>18</v>
      </c>
      <c r="C3">
        <v>2204</v>
      </c>
      <c r="D3">
        <v>-1284.3800000000001</v>
      </c>
    </row>
    <row r="4" spans="1:4" x14ac:dyDescent="0.2">
      <c r="A4" s="1">
        <v>46246</v>
      </c>
      <c r="B4" t="s">
        <v>9</v>
      </c>
      <c r="C4">
        <v>2201</v>
      </c>
      <c r="D4">
        <v>-3042.55</v>
      </c>
    </row>
    <row r="5" spans="1:4" x14ac:dyDescent="0.2">
      <c r="A5" s="1">
        <v>46261</v>
      </c>
      <c r="B5" t="s">
        <v>20</v>
      </c>
      <c r="C5">
        <v>2205</v>
      </c>
      <c r="D5">
        <v>-355.16</v>
      </c>
    </row>
    <row r="6" spans="1:4" x14ac:dyDescent="0.2">
      <c r="A6" s="1">
        <v>46264</v>
      </c>
      <c r="B6" t="s">
        <v>21</v>
      </c>
      <c r="D6">
        <v>2397.3200000000002</v>
      </c>
    </row>
    <row r="7" spans="1:4" x14ac:dyDescent="0.2">
      <c r="A7" s="1">
        <v>46248</v>
      </c>
      <c r="B7" t="s">
        <v>12</v>
      </c>
      <c r="C7">
        <v>2202</v>
      </c>
      <c r="D7">
        <v>-2235.8200000000002</v>
      </c>
    </row>
    <row r="8" spans="1:4" x14ac:dyDescent="0.2">
      <c r="A8" s="1">
        <v>46238</v>
      </c>
      <c r="B8" t="s">
        <v>13</v>
      </c>
      <c r="C8">
        <v>2203</v>
      </c>
      <c r="D8">
        <v>-2660.25</v>
      </c>
    </row>
    <row r="9" spans="1:4" x14ac:dyDescent="0.2">
      <c r="A9" s="1">
        <v>46243</v>
      </c>
      <c r="B9" t="s">
        <v>17</v>
      </c>
      <c r="D9">
        <v>1586.64</v>
      </c>
    </row>
    <row r="10" spans="1:4" x14ac:dyDescent="0.2">
      <c r="A10" s="1">
        <v>46249</v>
      </c>
      <c r="B10" t="s">
        <v>5</v>
      </c>
      <c r="D10">
        <v>-6840.22</v>
      </c>
    </row>
    <row r="11" spans="1:4" x14ac:dyDescent="0.2">
      <c r="A11" s="1">
        <v>46237</v>
      </c>
      <c r="B11" t="s">
        <v>6</v>
      </c>
      <c r="D11">
        <v>5989.95</v>
      </c>
    </row>
    <row r="12" spans="1:4" x14ac:dyDescent="0.2">
      <c r="A12" s="1">
        <v>46239</v>
      </c>
      <c r="B12" t="s">
        <v>10</v>
      </c>
      <c r="D12">
        <v>9063.83</v>
      </c>
    </row>
    <row r="13" spans="1:4" x14ac:dyDescent="0.2">
      <c r="A13" s="1">
        <v>46263</v>
      </c>
      <c r="B13" t="s">
        <v>22</v>
      </c>
      <c r="C13">
        <v>2206</v>
      </c>
      <c r="D13">
        <v>-1712.46</v>
      </c>
    </row>
    <row r="14" spans="1:4" x14ac:dyDescent="0.2">
      <c r="A14" s="1">
        <v>46237</v>
      </c>
      <c r="B14" t="s">
        <v>16</v>
      </c>
      <c r="D14">
        <v>8062.87</v>
      </c>
    </row>
    <row r="15" spans="1:4" x14ac:dyDescent="0.2">
      <c r="A15" s="1">
        <v>46256</v>
      </c>
      <c r="B15" t="s">
        <v>7</v>
      </c>
      <c r="D15">
        <v>6407.7</v>
      </c>
    </row>
    <row r="16" spans="1:4" x14ac:dyDescent="0.2">
      <c r="A16" s="1">
        <v>46248</v>
      </c>
      <c r="B16" t="s">
        <v>15</v>
      </c>
      <c r="D16">
        <v>1611.59</v>
      </c>
    </row>
    <row r="17" spans="1:4" x14ac:dyDescent="0.2">
      <c r="A17" s="1">
        <v>46263</v>
      </c>
      <c r="B17" t="s">
        <v>4</v>
      </c>
      <c r="D17">
        <v>-6912.55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D860-9BC8-E64D-9DF0-D5DFA524E402}">
  <dimension ref="A1:F19"/>
  <sheetViews>
    <sheetView zoomScale="130" zoomScaleNormal="130" workbookViewId="0">
      <selection activeCell="A20" sqref="A20"/>
    </sheetView>
  </sheetViews>
  <sheetFormatPr baseColWidth="10" defaultRowHeight="16" x14ac:dyDescent="0.2"/>
  <cols>
    <col min="1" max="1" width="35.33203125" bestFit="1" customWidth="1"/>
  </cols>
  <sheetData>
    <row r="1" spans="1:6" x14ac:dyDescent="0.2">
      <c r="A1" s="2" t="s">
        <v>23</v>
      </c>
      <c r="F1" s="2"/>
    </row>
    <row r="2" spans="1:6" x14ac:dyDescent="0.2">
      <c r="A2" t="s">
        <v>32</v>
      </c>
      <c r="B2">
        <f>SUM('Bank Statement'!C2:C17)</f>
        <v>7010.28</v>
      </c>
    </row>
    <row r="3" spans="1:6" x14ac:dyDescent="0.2">
      <c r="A3" t="s">
        <v>28</v>
      </c>
      <c r="B3">
        <f>SUMIF('General Ledger'!B2:B17,"Customer payment - Orchid Lane Boutique",'General Ledger'!D2:D17)</f>
        <v>2397.3200000000002</v>
      </c>
    </row>
    <row r="4" spans="1:6" x14ac:dyDescent="0.2">
      <c r="A4" t="s">
        <v>29</v>
      </c>
      <c r="B4">
        <f>SUMIF('General Ledger'!C2:C17,2205,'General Ledger'!D2:D17)+SUMIF('General Ledger'!C2:C17,2206,'General Ledger'!D2:D17)</f>
        <v>-2067.62</v>
      </c>
    </row>
    <row r="5" spans="1:6" x14ac:dyDescent="0.2">
      <c r="A5" t="s">
        <v>33</v>
      </c>
      <c r="B5">
        <f>SUM(B2:B4)</f>
        <v>7339.9800000000005</v>
      </c>
    </row>
    <row r="7" spans="1:6" x14ac:dyDescent="0.2">
      <c r="A7" s="2" t="s">
        <v>24</v>
      </c>
    </row>
    <row r="8" spans="1:6" x14ac:dyDescent="0.2">
      <c r="A8" t="s">
        <v>35</v>
      </c>
      <c r="B8">
        <f>SUM('General Ledger'!D2:D17)</f>
        <v>13680.27</v>
      </c>
    </row>
    <row r="9" spans="1:6" x14ac:dyDescent="0.2">
      <c r="A9" t="s">
        <v>25</v>
      </c>
      <c r="B9">
        <f>SUMIF('Bank Statement'!B2:B17,"Interest earned",'Bank Statement'!C2:C17)</f>
        <v>12.41</v>
      </c>
    </row>
    <row r="10" spans="1:6" x14ac:dyDescent="0.2">
      <c r="A10" t="s">
        <v>26</v>
      </c>
      <c r="B10">
        <f>SUMIF('Bank Statement'!B2:B17,"Monthly service charge",'Bank Statement'!C2:C17)</f>
        <v>-35</v>
      </c>
    </row>
    <row r="11" spans="1:6" x14ac:dyDescent="0.2">
      <c r="A11" t="s">
        <v>27</v>
      </c>
      <c r="B11">
        <f>SUMIF('Bank Statement'!B2:B17,"NSF - returned item (Customer payment - Jade Row Cosmetics)",'Bank Statement'!C2:C17)</f>
        <v>-6407.7</v>
      </c>
    </row>
    <row r="12" spans="1:6" x14ac:dyDescent="0.2">
      <c r="A12" t="s">
        <v>30</v>
      </c>
      <c r="B12">
        <f>SUMIF('Bank Statement'!B2:B17,"Check #2202 - Golden Lotus Ingredients", 'Bank Statement'!C2:C17)-SUMIF('General Ledger'!C2:C17,2202,'General Ledger'!D2:D17)</f>
        <v>90</v>
      </c>
    </row>
    <row r="13" spans="1:6" x14ac:dyDescent="0.2">
      <c r="A13" t="s">
        <v>34</v>
      </c>
      <c r="B13">
        <f>SUM(B8:B12)</f>
        <v>7339.9800000000005</v>
      </c>
    </row>
    <row r="15" spans="1:6" x14ac:dyDescent="0.2">
      <c r="A15" s="2" t="s">
        <v>31</v>
      </c>
      <c r="B15">
        <f>B5-B13</f>
        <v>0</v>
      </c>
    </row>
    <row r="16" spans="1:6" x14ac:dyDescent="0.2">
      <c r="A16" s="4"/>
    </row>
    <row r="17" spans="1:1" x14ac:dyDescent="0.2">
      <c r="A17" s="2" t="s">
        <v>36</v>
      </c>
    </row>
    <row r="18" spans="1:1" x14ac:dyDescent="0.2">
      <c r="A18" t="s">
        <v>37</v>
      </c>
    </row>
    <row r="19" spans="1:1" x14ac:dyDescent="0.2">
      <c r="A19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Bank Statement</vt:lpstr>
      <vt:lpstr>General Ledger</vt:lpstr>
      <vt:lpstr>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Duong</dc:creator>
  <cp:lastModifiedBy>Cindy Duong</cp:lastModifiedBy>
  <dcterms:created xsi:type="dcterms:W3CDTF">2026-09-06T19:54:01Z</dcterms:created>
  <dcterms:modified xsi:type="dcterms:W3CDTF">2026-09-06T21:29:06Z</dcterms:modified>
</cp:coreProperties>
</file>